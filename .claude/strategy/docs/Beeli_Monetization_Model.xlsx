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etization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Retention G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Plus Jakarta Sans"/>
      <b val="1"/>
      <color rgb="0011181C"/>
      <sz val="15"/>
    </font>
    <font>
      <name val="Plus Jakarta Sans"/>
      <b val="1"/>
      <color rgb="00FFFFFF"/>
      <sz val="11"/>
    </font>
    <font>
      <name val="Plus Jakarta Sans"/>
      <color rgb="0011181C"/>
      <sz val="10"/>
    </font>
    <font>
      <name val="Plus Jakarta Sans"/>
      <b val="1"/>
      <color rgb="000A7EA4"/>
      <sz val="10"/>
    </font>
    <font>
      <name val="Plus Jakarta Sans"/>
      <i val="1"/>
      <color rgb="00687076"/>
      <sz val="9"/>
    </font>
    <font>
      <name val="Plus Jakarta Sans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7EA4"/>
      </patternFill>
    </fill>
    <fill>
      <patternFill patternType="solid">
        <fgColor rgb="00F59E0B"/>
      </patternFill>
    </fill>
    <fill>
      <patternFill patternType="solid">
        <fgColor rgb="008B5CF6"/>
      </patternFill>
    </fill>
  </fills>
  <borders count="2">
    <border>
      <left/>
      <right/>
      <top/>
      <bottom/>
      <diagonal/>
    </border>
    <border>
      <left style="thin">
        <color rgb="00D7DBE0"/>
      </left>
      <right style="thin">
        <color rgb="00D7DBE0"/>
      </right>
      <top style="thin">
        <color rgb="00D7DBE0"/>
      </top>
      <bottom style="thin">
        <color rgb="00D7DB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1" pivotButton="0" quotePrefix="0" xfId="0"/>
    <xf numFmtId="4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4" fontId="6" fillId="3" borderId="1" pivotButton="0" quotePrefix="0" xfId="0"/>
    <xf numFmtId="0" fontId="2" fillId="4" borderId="1" applyAlignment="1" pivotButton="0" quotePrefix="0" xfId="0">
      <alignment horizontal="left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Beeli — Editable Assumptions</t>
        </is>
      </c>
    </row>
    <row r="3">
      <c r="A3" s="2" t="inlineStr">
        <is>
          <t>Assumption</t>
        </is>
      </c>
      <c r="B3" s="2" t="inlineStr">
        <is>
          <t>Value</t>
        </is>
      </c>
    </row>
    <row r="4">
      <c r="A4" s="3" t="inlineStr">
        <is>
          <t>Beeli Plus — monthly price ($)</t>
        </is>
      </c>
      <c r="B4" s="4" t="n">
        <v>4.99</v>
      </c>
    </row>
    <row r="5">
      <c r="A5" s="3" t="inlineStr">
        <is>
          <t>Beeli Plus — annual price ($)</t>
        </is>
      </c>
      <c r="B5" s="4" t="n">
        <v>39.99</v>
      </c>
    </row>
    <row r="6">
      <c r="A6" s="3" t="inlineStr">
        <is>
          <t>MAU (monthly active users, target)</t>
        </is>
      </c>
      <c r="B6" s="5" t="n">
        <v>1500</v>
      </c>
    </row>
    <row r="7">
      <c r="A7" s="3" t="inlineStr">
        <is>
          <t>Plus conversion (% of MAU)</t>
        </is>
      </c>
      <c r="B7" s="6" t="n">
        <v>0.02</v>
      </c>
    </row>
    <row r="8">
      <c r="A8" s="3" t="inlineStr">
        <is>
          <t>Educator Starter — price ($/mo)</t>
        </is>
      </c>
      <c r="B8" s="4" t="n">
        <v>99</v>
      </c>
    </row>
    <row r="9">
      <c r="A9" s="3" t="inlineStr">
        <is>
          <t>Educator Starter — accounts</t>
        </is>
      </c>
      <c r="B9" s="5" t="n">
        <v>3</v>
      </c>
    </row>
    <row r="10">
      <c r="A10" s="3" t="inlineStr">
        <is>
          <t>Educator Pro — price ($/mo)</t>
        </is>
      </c>
      <c r="B10" s="4" t="n">
        <v>199</v>
      </c>
    </row>
    <row r="11">
      <c r="A11" s="3" t="inlineStr">
        <is>
          <t>Educator Pro — accounts</t>
        </is>
      </c>
      <c r="B11" s="5" t="n">
        <v>2</v>
      </c>
    </row>
    <row r="13">
      <c r="A13" s="7" t="inlineStr">
        <is>
          <t>Edit the Value column; the Monetization sheet recomputes.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Monetization Model (computed)</t>
        </is>
      </c>
    </row>
    <row r="3">
      <c r="A3" s="2" t="inlineStr">
        <is>
          <t>Line</t>
        </is>
      </c>
      <c r="B3" s="2" t="inlineStr">
        <is>
          <t>Amount</t>
        </is>
      </c>
    </row>
    <row r="4">
      <c r="A4" s="3" t="inlineStr">
        <is>
          <t>Beeli Plus — subscribers</t>
        </is>
      </c>
      <c r="B4" s="5">
        <f>Assumptions!B6*Assumptions!B7</f>
        <v/>
      </c>
    </row>
    <row r="5">
      <c r="A5" s="3" t="inlineStr">
        <is>
          <t>Beeli Plus — MRR ($)</t>
        </is>
      </c>
      <c r="B5" s="4">
        <f>B4*Assumptions!B4</f>
        <v/>
      </c>
    </row>
    <row r="6">
      <c r="A6" s="3" t="inlineStr">
        <is>
          <t>Educator — MRR ($)</t>
        </is>
      </c>
      <c r="B6" s="4">
        <f>Assumptions!B8*Assumptions!B9+Assumptions!B10*Assumptions!B11</f>
        <v/>
      </c>
    </row>
    <row r="7">
      <c r="A7" s="3" t="inlineStr">
        <is>
          <t>Total MRR ($)</t>
        </is>
      </c>
      <c r="B7" s="8">
        <f>B5+B6</f>
        <v/>
      </c>
    </row>
    <row r="8">
      <c r="A8" s="3" t="inlineStr">
        <is>
          <t>Total ARR ($)</t>
        </is>
      </c>
      <c r="B8" s="8">
        <f>B7*12</f>
        <v/>
      </c>
    </row>
    <row r="10">
      <c r="A10" s="7" t="inlineStr">
        <is>
          <t>Free tier (all learning, community, cultural content) is permanently $0 — the moat, not a SKU.</t>
        </is>
      </c>
    </row>
    <row r="11">
      <c r="A11" s="7" t="inlineStr">
        <is>
          <t>Gate: Beeli Plus does not launch until D60 retention &gt; 15% (see Retention Gates).</t>
        </is>
      </c>
    </row>
  </sheetData>
  <mergeCells count="3">
    <mergeCell ref="A11:B11"/>
    <mergeCell ref="A10:B1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1" t="inlineStr">
        <is>
          <t>KPIs &amp; Targets</t>
        </is>
      </c>
    </row>
    <row r="2">
      <c r="A2" s="7" t="inlineStr">
        <is>
          <t>North Star: Daily Active Learners (DAL) — completed &gt;=1 lesson segment or daily challenge that day.</t>
        </is>
      </c>
    </row>
    <row r="4">
      <c r="A4" s="9" t="inlineStr">
        <is>
          <t>Growth (acquisition)</t>
        </is>
      </c>
      <c r="B4" s="9" t="inlineStr">
        <is>
          <t>30-day</t>
        </is>
      </c>
      <c r="C4" s="9" t="inlineStr">
        <is>
          <t>90-day</t>
        </is>
      </c>
    </row>
    <row r="5">
      <c r="A5" s="3" t="inlineStr">
        <is>
          <t>Total installs</t>
        </is>
      </c>
      <c r="B5" s="10" t="inlineStr">
        <is>
          <t>500</t>
        </is>
      </c>
      <c r="C5" s="10" t="inlineStr">
        <is>
          <t>3,000</t>
        </is>
      </c>
    </row>
    <row r="6">
      <c r="A6" s="3" t="inlineStr">
        <is>
          <t>Registered users</t>
        </is>
      </c>
      <c r="B6" s="10" t="inlineStr">
        <is>
          <t>300</t>
        </is>
      </c>
      <c r="C6" s="10" t="inlineStr">
        <is>
          <t>1,500</t>
        </is>
      </c>
    </row>
    <row r="7">
      <c r="A7" s="3" t="inlineStr">
        <is>
          <t>Weekly new registrations</t>
        </is>
      </c>
      <c r="B7" s="10" t="inlineStr">
        <is>
          <t>50</t>
        </is>
      </c>
      <c r="C7" s="10" t="inlineStr">
        <is>
          <t>200</t>
        </is>
      </c>
    </row>
    <row r="8">
      <c r="A8" s="3" t="inlineStr">
        <is>
          <t>Top-3-keyword ASO rank</t>
        </is>
      </c>
      <c r="B8" s="10" t="inlineStr">
        <is>
          <t>Top 50</t>
        </is>
      </c>
      <c r="C8" s="10" t="inlineStr">
        <is>
          <t>Top 10</t>
        </is>
      </c>
    </row>
    <row r="9">
      <c r="A9" s="3" t="inlineStr">
        <is>
          <t>Social followers (combined)</t>
        </is>
      </c>
      <c r="B9" s="10" t="inlineStr">
        <is>
          <t>500</t>
        </is>
      </c>
      <c r="C9" s="10" t="inlineStr">
        <is>
          <t>2,500</t>
        </is>
      </c>
    </row>
    <row r="11">
      <c r="A11" s="9" t="inlineStr">
        <is>
          <t>Engagement (retention) — gates monetization</t>
        </is>
      </c>
      <c r="B11" s="9" t="inlineStr">
        <is>
          <t>30-day</t>
        </is>
      </c>
      <c r="C11" s="9" t="inlineStr">
        <is>
          <t>90-day</t>
        </is>
      </c>
    </row>
    <row r="12">
      <c r="A12" s="3" t="inlineStr">
        <is>
          <t>D1 retention</t>
        </is>
      </c>
      <c r="B12" s="10" t="inlineStr">
        <is>
          <t>&gt;40%</t>
        </is>
      </c>
      <c r="C12" s="10" t="inlineStr">
        <is>
          <t>&gt;40%</t>
        </is>
      </c>
    </row>
    <row r="13">
      <c r="A13" s="3" t="inlineStr">
        <is>
          <t>D7 retention</t>
        </is>
      </c>
      <c r="B13" s="10" t="inlineStr">
        <is>
          <t>&gt;20%</t>
        </is>
      </c>
      <c r="C13" s="10" t="inlineStr">
        <is>
          <t>&gt;20%</t>
        </is>
      </c>
    </row>
    <row r="14">
      <c r="A14" s="3" t="inlineStr">
        <is>
          <t>D30 retention</t>
        </is>
      </c>
      <c r="B14" s="10" t="inlineStr">
        <is>
          <t>&gt;10%</t>
        </is>
      </c>
      <c r="C14" s="10" t="inlineStr">
        <is>
          <t>&gt;10%</t>
        </is>
      </c>
    </row>
    <row r="15">
      <c r="A15" s="3" t="inlineStr">
        <is>
          <t>Lessons / user / week</t>
        </is>
      </c>
      <c r="B15" s="10" t="inlineStr">
        <is>
          <t>&gt;2</t>
        </is>
      </c>
      <c r="C15" s="10" t="inlineStr">
        <is>
          <t>&gt;2</t>
        </is>
      </c>
    </row>
    <row r="16">
      <c r="A16" s="3" t="inlineStr">
        <is>
          <t>Users with &gt;7-day streak</t>
        </is>
      </c>
      <c r="B16" s="10" t="inlineStr">
        <is>
          <t>&gt;15%</t>
        </is>
      </c>
      <c r="C16" s="10" t="inlineStr">
        <is>
          <t>&gt;15%</t>
        </is>
      </c>
    </row>
    <row r="18">
      <c r="A18" s="9" t="inlineStr">
        <is>
          <t>Community (flywheel)</t>
        </is>
      </c>
      <c r="B18" s="9" t="inlineStr">
        <is>
          <t>30-day</t>
        </is>
      </c>
      <c r="C18" s="9" t="inlineStr">
        <is>
          <t>90-day</t>
        </is>
      </c>
    </row>
    <row r="19">
      <c r="A19" s="3" t="inlineStr">
        <is>
          <t>Vocabulary contributions / mo</t>
        </is>
      </c>
      <c r="B19" s="10" t="inlineStr">
        <is>
          <t>100+</t>
        </is>
      </c>
      <c r="C19" s="10" t="inlineStr">
        <is>
          <t>200+</t>
        </is>
      </c>
    </row>
    <row r="20">
      <c r="A20" s="3" t="inlineStr">
        <is>
          <t>Bounties completed / mo</t>
        </is>
      </c>
      <c r="B20" s="10" t="inlineStr">
        <is>
          <t>20+</t>
        </is>
      </c>
      <c r="C20" s="10" t="inlineStr">
        <is>
          <t>50+</t>
        </is>
      </c>
    </row>
    <row r="21">
      <c r="A21" s="3" t="inlineStr">
        <is>
          <t>Classrooms created</t>
        </is>
      </c>
      <c r="B21" s="10" t="inlineStr">
        <is>
          <t>3+</t>
        </is>
      </c>
      <c r="C21" s="10" t="inlineStr">
        <is>
          <t>10+</t>
        </is>
      </c>
    </row>
    <row r="22">
      <c r="A22" s="3" t="inlineStr">
        <is>
          <t>Languages w/ &gt;10 learners</t>
        </is>
      </c>
      <c r="B22" s="10" t="inlineStr">
        <is>
          <t>5+</t>
        </is>
      </c>
      <c r="C22" s="10" t="inlineStr">
        <is>
          <t>15+</t>
        </is>
      </c>
    </row>
    <row r="24">
      <c r="A24" s="9" t="inlineStr">
        <is>
          <t>Revenue (post Day 60)</t>
        </is>
      </c>
      <c r="B24" s="9" t="inlineStr">
        <is>
          <t>30-day</t>
        </is>
      </c>
      <c r="C24" s="9" t="inlineStr">
        <is>
          <t>90-day</t>
        </is>
      </c>
    </row>
    <row r="25">
      <c r="A25" s="3" t="inlineStr">
        <is>
          <t>Beeli Plus conversion</t>
        </is>
      </c>
      <c r="B25" s="10" t="inlineStr">
        <is>
          <t>-</t>
        </is>
      </c>
      <c r="C25" s="10" t="inlineStr">
        <is>
          <t>&gt;2% MAU</t>
        </is>
      </c>
    </row>
    <row r="26">
      <c r="A26" s="3" t="inlineStr">
        <is>
          <t>Educator accounts</t>
        </is>
      </c>
      <c r="B26" s="10" t="inlineStr">
        <is>
          <t>-</t>
        </is>
      </c>
      <c r="C26" s="10" t="inlineStr">
        <is>
          <t>5+</t>
        </is>
      </c>
    </row>
    <row r="27">
      <c r="A27" s="3" t="inlineStr">
        <is>
          <t>Educator MRR ($)</t>
        </is>
      </c>
      <c r="B27" s="10" t="inlineStr">
        <is>
          <t>-</t>
        </is>
      </c>
      <c r="C27" s="10" t="inlineStr">
        <is>
          <t>500+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4" customWidth="1" min="3" max="3"/>
  </cols>
  <sheetData>
    <row r="1">
      <c r="A1" s="1" t="inlineStr">
        <is>
          <t>Retention Gates</t>
        </is>
      </c>
    </row>
    <row r="3">
      <c r="A3" s="2" t="inlineStr">
        <is>
          <t>Gate</t>
        </is>
      </c>
      <c r="B3" s="2" t="inlineStr">
        <is>
          <t>Threshold</t>
        </is>
      </c>
      <c r="C3" s="2" t="inlineStr">
        <is>
          <t>Unlocks</t>
        </is>
      </c>
    </row>
    <row r="4">
      <c r="A4" s="3" t="inlineStr">
        <is>
          <t>D30 retention</t>
        </is>
      </c>
      <c r="B4" s="10" t="inlineStr">
        <is>
          <t>&gt;10%</t>
        </is>
      </c>
      <c r="C4" s="3" t="inlineStr">
        <is>
          <t>Permission to spend on paid acquisition</t>
        </is>
      </c>
    </row>
    <row r="5">
      <c r="A5" s="3" t="inlineStr">
        <is>
          <t>D60 retention</t>
        </is>
      </c>
      <c r="B5" s="10" t="inlineStr">
        <is>
          <t>&gt;15%</t>
        </is>
      </c>
      <c r="C5" s="3" t="inlineStr">
        <is>
          <t>Launch of Beeli Plus (paid individual tier)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2026-06-07T22:42:59Z</dcterms:created>
  <dcterms:modified xmlns:dcterms="http://purl.org/dc/terms/" xmlns:xsi="http://www.w3.org/2001/XMLSchema-instance" xsi:type="dcterms:W3CDTF">2026-06-07T22:42:59Z</dcterms:modified>
</cp:coreProperties>
</file>